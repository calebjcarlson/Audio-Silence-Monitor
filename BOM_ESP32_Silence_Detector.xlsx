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M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<sst xmlns="http://schemas.openxmlformats.org/spreadsheetml/2006/main" count="83" uniqueCount="65">
  <si>
    <t xml:space="preserve">Bill of Materials — ESP32 Silence Detector</t>
  </si>
  <si>
    <t xml:space="preserve">Project: ESP32 Silence Detector  |  Version: V1.0  |  Date: 2026-04-08  |  Drawn by: Kleb Inc</t>
  </si>
  <si>
    <t xml:space="preserve">Item #</t>
  </si>
  <si>
    <t xml:space="preserve">Qty</t>
  </si>
  <si>
    <t xml:space="preserve">Reference(s)</t>
  </si>
  <si>
    <t xml:space="preserve">Value</t>
  </si>
  <si>
    <t xml:space="preserve">Description</t>
  </si>
  <si>
    <t xml:space="preserve">Package / Type</t>
  </si>
  <si>
    <t xml:space="preserve">Manufacturer Part #</t>
  </si>
  <si>
    <t xml:space="preserve">Notes</t>
  </si>
  <si>
    <t xml:space="preserve">C1, C3</t>
  </si>
  <si>
    <t xml:space="preserve">1 µF</t>
  </si>
  <si>
    <t xml:space="preserve">Capacitor</t>
  </si>
  <si>
    <t xml:space="preserve">Electrolytic / Ceramic</t>
  </si>
  <si>
    <t xml:space="preserve">C2, C5</t>
  </si>
  <si>
    <t xml:space="preserve">10 nF</t>
  </si>
  <si>
    <t xml:space="preserve">Ceramic</t>
  </si>
  <si>
    <t xml:space="preserve">C4</t>
  </si>
  <si>
    <t xml:space="preserve">10 µF</t>
  </si>
  <si>
    <t xml:space="preserve">Electrolytic</t>
  </si>
  <si>
    <t xml:space="preserve">R1, R2</t>
  </si>
  <si>
    <t xml:space="preserve">100K</t>
  </si>
  <si>
    <t xml:space="preserve">Resistor</t>
  </si>
  <si>
    <t xml:space="preserve">1/4W Through-Hole</t>
  </si>
  <si>
    <t xml:space="preserve">R3, R6</t>
  </si>
  <si>
    <t xml:space="preserve">10K</t>
  </si>
  <si>
    <t xml:space="preserve">R4</t>
  </si>
  <si>
    <t xml:space="preserve">1.2K</t>
  </si>
  <si>
    <t xml:space="preserve">R5</t>
  </si>
  <si>
    <t xml:space="preserve">47K</t>
  </si>
  <si>
    <t xml:space="preserve">R7</t>
  </si>
  <si>
    <t xml:space="preserve">Pull-up to +3.3V</t>
  </si>
  <si>
    <t xml:space="preserve">R8</t>
  </si>
  <si>
    <t xml:space="preserve">1K</t>
  </si>
  <si>
    <t xml:space="preserve">Base resistor for Q1</t>
  </si>
  <si>
    <t xml:space="preserve">R9</t>
  </si>
  <si>
    <t xml:space="preserve">470K</t>
  </si>
  <si>
    <t xml:space="preserve">U1</t>
  </si>
  <si>
    <t xml:space="preserve">LM358</t>
  </si>
  <si>
    <t xml:space="preserve">Dual Op-Amp IC</t>
  </si>
  <si>
    <t xml:space="preserve">DIP-8</t>
  </si>
  <si>
    <t xml:space="preserve">LM358N</t>
  </si>
  <si>
    <t xml:space="preserve">Half used (U1.1)</t>
  </si>
  <si>
    <t xml:space="preserve">U2</t>
  </si>
  <si>
    <t xml:space="preserve">LM393</t>
  </si>
  <si>
    <t xml:space="preserve">Dual Comparator IC</t>
  </si>
  <si>
    <t xml:space="preserve">LM393N</t>
  </si>
  <si>
    <t xml:space="preserve">Half used (U2.1)</t>
  </si>
  <si>
    <t xml:space="preserve">D1</t>
  </si>
  <si>
    <t xml:space="preserve">1N4007</t>
  </si>
  <si>
    <t xml:space="preserve">Rectifier Diode</t>
  </si>
  <si>
    <t xml:space="preserve">DO-41</t>
  </si>
  <si>
    <t xml:space="preserve">Flyback / protection</t>
  </si>
  <si>
    <t xml:space="preserve">Q1</t>
  </si>
  <si>
    <t xml:space="preserve">2N3904</t>
  </si>
  <si>
    <t xml:space="preserve">NPN BJT Transistor</t>
  </si>
  <si>
    <t xml:space="preserve">TO-92</t>
  </si>
  <si>
    <t xml:space="preserve">Relay driver</t>
  </si>
  <si>
    <t xml:space="preserve">K1</t>
  </si>
  <si>
    <t xml:space="preserve">HK4100F</t>
  </si>
  <si>
    <t xml:space="preserve">5V SPDT Relay</t>
  </si>
  <si>
    <t xml:space="preserve">PCB Mount</t>
  </si>
  <si>
    <t xml:space="preserve">HK4100F-DC5V-SDG</t>
  </si>
  <si>
    <t xml:space="preserve">COM, NC, NO contacts</t>
  </si>
  <si>
    <t xml:space="preserve">Total Line Items: 15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</si>
</sst>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44444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9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1F4E79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FFFFFF"/>
        <bgColor rgb="FFFFFFCC"/>
      </patternFill>
    </fill>
    <fill>
      <patternFill patternType="solid">
        <fgColor rgb="FFE2EFDA"/>
        <bgColor rgb="FFD6E4F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 diagonalUp="false" diagonalDown="false">
      <left style="thin">
        <color rgb="FFAAAAAA"/>
      </left>
      <right/>
      <top style="thin">
        <color rgb="FFAAAAAA"/>
      </top>
      <bottom style="thin">
        <color rgb="FFAAAAA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6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AAAAAA"/>
      <rgbColor rgb="FF003366"/>
      <rgbColor rgb="FF339966"/>
      <rgbColor rgb="FF003300"/>
      <rgbColor rgb="FF333300"/>
      <rgbColor rgb="FF993300"/>
      <rgbColor rgb="FF993366"/>
      <rgbColor rgb="FF1F4E7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8"/>
    <col collapsed="false" customWidth="true" hidden="false" outlineLevel="0" max="4" min="4" style="0" width="10"/>
    <col collapsed="false" customWidth="true" hidden="false" outlineLevel="0" max="5" min="5" style="0" width="26"/>
    <col collapsed="false" customWidth="true" hidden="false" outlineLevel="0" max="7" min="6" style="0" width="22"/>
    <col collapsed="false" customWidth="true" hidden="false" outlineLevel="0" max="8" min="8" style="0" width="28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6" hidden="false" customHeight="true" outlineLevel="0" collapsed="false"/>
    <row r="4" customFormat="false" ht="19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customFormat="false" ht="18" hidden="false" customHeight="true" outlineLevel="0" collapsed="false">
      <c r="A5" s="4" t="n">
        <v>1</v>
      </c>
      <c r="B5" s="4" t="n">
        <v>1</v>
      </c>
      <c r="C5" s="5" t="s">
        <v>10</v>
      </c>
      <c r="D5" s="5" t="s">
        <v>11</v>
      </c>
      <c r="E5" s="5" t="s">
        <v>12</v>
      </c>
      <c r="F5" s="5" t="s">
        <v>13</v>
      </c>
      <c r="G5" s="5"/>
      <c r="H5" s="5"/>
    </row>
    <row r="6" customFormat="false" ht="18" hidden="false" customHeight="true" outlineLevel="0" collapsed="false">
      <c r="A6" s="6" t="n">
        <v>2</v>
      </c>
      <c r="B6" s="6" t="n">
        <v>2</v>
      </c>
      <c r="C6" s="7" t="s">
        <v>14</v>
      </c>
      <c r="D6" s="7" t="s">
        <v>15</v>
      </c>
      <c r="E6" s="7" t="s">
        <v>12</v>
      </c>
      <c r="F6" s="7" t="s">
        <v>16</v>
      </c>
      <c r="G6" s="7"/>
      <c r="H6" s="7"/>
    </row>
    <row r="7" customFormat="false" ht="18" hidden="false" customHeight="true" outlineLevel="0" collapsed="false">
      <c r="A7" s="4" t="n">
        <v>3</v>
      </c>
      <c r="B7" s="4" t="n">
        <v>1</v>
      </c>
      <c r="C7" s="5" t="s">
        <v>17</v>
      </c>
      <c r="D7" s="5" t="s">
        <v>18</v>
      </c>
      <c r="E7" s="5" t="s">
        <v>12</v>
      </c>
      <c r="F7" s="5" t="s">
        <v>19</v>
      </c>
      <c r="G7" s="5"/>
      <c r="H7" s="5"/>
    </row>
    <row r="8" customFormat="false" ht="18" hidden="false" customHeight="true" outlineLevel="0" collapsed="false">
      <c r="A8" s="6" t="n">
        <v>4</v>
      </c>
      <c r="B8" s="6" t="n">
        <v>2</v>
      </c>
      <c r="C8" s="7" t="s">
        <v>20</v>
      </c>
      <c r="D8" s="7" t="s">
        <v>21</v>
      </c>
      <c r="E8" s="7" t="s">
        <v>22</v>
      </c>
      <c r="F8" s="7" t="s">
        <v>23</v>
      </c>
      <c r="G8" s="7"/>
      <c r="H8" s="7"/>
    </row>
    <row r="9" customFormat="false" ht="18" hidden="false" customHeight="true" outlineLevel="0" collapsed="false">
      <c r="A9" s="4" t="n">
        <v>5</v>
      </c>
      <c r="B9" s="4" t="n">
        <v>2</v>
      </c>
      <c r="C9" s="5" t="s">
        <v>24</v>
      </c>
      <c r="D9" s="5" t="s">
        <v>25</v>
      </c>
      <c r="E9" s="5" t="s">
        <v>22</v>
      </c>
      <c r="F9" s="5" t="s">
        <v>23</v>
      </c>
      <c r="G9" s="5"/>
      <c r="H9" s="5"/>
    </row>
    <row r="10" customFormat="false" ht="18" hidden="false" customHeight="true" outlineLevel="0" collapsed="false">
      <c r="A10" s="6" t="n">
        <v>6</v>
      </c>
      <c r="B10" s="6" t="n">
        <v>1</v>
      </c>
      <c r="C10" s="7" t="s">
        <v>26</v>
      </c>
      <c r="D10" s="7" t="s">
        <v>27</v>
      </c>
      <c r="E10" s="7" t="s">
        <v>22</v>
      </c>
      <c r="F10" s="7" t="s">
        <v>23</v>
      </c>
      <c r="G10" s="7"/>
      <c r="H10" s="7"/>
    </row>
    <row r="11" customFormat="false" ht="18" hidden="false" customHeight="true" outlineLevel="0" collapsed="false">
      <c r="A11" s="4" t="n">
        <v>7</v>
      </c>
      <c r="B11" s="4" t="n">
        <v>1</v>
      </c>
      <c r="C11" s="5" t="s">
        <v>28</v>
      </c>
      <c r="D11" s="5" t="s">
        <v>29</v>
      </c>
      <c r="E11" s="5" t="s">
        <v>22</v>
      </c>
      <c r="F11" s="5" t="s">
        <v>23</v>
      </c>
      <c r="G11" s="5"/>
      <c r="H11" s="5"/>
    </row>
    <row r="12" customFormat="false" ht="18" hidden="false" customHeight="true" outlineLevel="0" collapsed="false">
      <c r="A12" s="6" t="n">
        <v>8</v>
      </c>
      <c r="B12" s="6" t="n">
        <v>1</v>
      </c>
      <c r="C12" s="7" t="s">
        <v>30</v>
      </c>
      <c r="D12" s="7" t="s">
        <v>25</v>
      </c>
      <c r="E12" s="7" t="s">
        <v>22</v>
      </c>
      <c r="F12" s="7" t="s">
        <v>23</v>
      </c>
      <c r="G12" s="7"/>
      <c r="H12" s="7" t="s">
        <v>31</v>
      </c>
    </row>
    <row r="13" customFormat="false" ht="18" hidden="false" customHeight="true" outlineLevel="0" collapsed="false">
      <c r="A13" s="4" t="n">
        <v>9</v>
      </c>
      <c r="B13" s="4" t="n">
        <v>1</v>
      </c>
      <c r="C13" s="5" t="s">
        <v>32</v>
      </c>
      <c r="D13" s="5" t="s">
        <v>33</v>
      </c>
      <c r="E13" s="5" t="s">
        <v>22</v>
      </c>
      <c r="F13" s="5" t="s">
        <v>23</v>
      </c>
      <c r="G13" s="5"/>
      <c r="H13" s="5" t="s">
        <v>34</v>
      </c>
    </row>
    <row r="14" customFormat="false" ht="18" hidden="false" customHeight="true" outlineLevel="0" collapsed="false">
      <c r="A14" s="6" t="n">
        <v>10</v>
      </c>
      <c r="B14" s="6" t="n">
        <v>1</v>
      </c>
      <c r="C14" s="7" t="s">
        <v>35</v>
      </c>
      <c r="D14" s="7" t="s">
        <v>36</v>
      </c>
      <c r="E14" s="7" t="s">
        <v>22</v>
      </c>
      <c r="F14" s="7" t="s">
        <v>23</v>
      </c>
      <c r="G14" s="7"/>
      <c r="H14" s="7"/>
    </row>
    <row r="15" customFormat="false" ht="18" hidden="false" customHeight="true" outlineLevel="0" collapsed="false">
      <c r="A15" s="4" t="n">
        <v>11</v>
      </c>
      <c r="B15" s="4" t="n">
        <v>1</v>
      </c>
      <c r="C15" s="5" t="s">
        <v>37</v>
      </c>
      <c r="D15" s="5" t="s">
        <v>38</v>
      </c>
      <c r="E15" s="5" t="s">
        <v>39</v>
      </c>
      <c r="F15" s="5" t="s">
        <v>40</v>
      </c>
      <c r="G15" s="5" t="s">
        <v>41</v>
      </c>
      <c r="H15" s="5" t="s">
        <v>42</v>
      </c>
    </row>
    <row r="16" customFormat="false" ht="18" hidden="false" customHeight="true" outlineLevel="0" collapsed="false">
      <c r="A16" s="6" t="n">
        <v>12</v>
      </c>
      <c r="B16" s="6" t="n">
        <v>1</v>
      </c>
      <c r="C16" s="7" t="s">
        <v>43</v>
      </c>
      <c r="D16" s="7" t="s">
        <v>44</v>
      </c>
      <c r="E16" s="7" t="s">
        <v>45</v>
      </c>
      <c r="F16" s="7" t="s">
        <v>40</v>
      </c>
      <c r="G16" s="7" t="s">
        <v>46</v>
      </c>
      <c r="H16" s="7" t="s">
        <v>47</v>
      </c>
    </row>
    <row r="17" customFormat="false" ht="18" hidden="false" customHeight="true" outlineLevel="0" collapsed="false">
      <c r="A17" s="4" t="n">
        <v>13</v>
      </c>
      <c r="B17" s="4" t="n">
        <v>1</v>
      </c>
      <c r="C17" s="5" t="s">
        <v>48</v>
      </c>
      <c r="D17" s="5" t="s">
        <v>49</v>
      </c>
      <c r="E17" s="5" t="s">
        <v>50</v>
      </c>
      <c r="F17" s="5" t="s">
        <v>51</v>
      </c>
      <c r="G17" s="5" t="s">
        <v>49</v>
      </c>
      <c r="H17" s="5" t="s">
        <v>52</v>
      </c>
    </row>
    <row r="18" customFormat="false" ht="18" hidden="false" customHeight="true" outlineLevel="0" collapsed="false">
      <c r="A18" s="6" t="n">
        <v>14</v>
      </c>
      <c r="B18" s="6" t="n">
        <v>1</v>
      </c>
      <c r="C18" s="7" t="s">
        <v>53</v>
      </c>
      <c r="D18" s="7" t="s">
        <v>54</v>
      </c>
      <c r="E18" s="7" t="s">
        <v>55</v>
      </c>
      <c r="F18" s="7" t="s">
        <v>56</v>
      </c>
      <c r="G18" s="7" t="s">
        <v>54</v>
      </c>
      <c r="H18" s="7" t="s">
        <v>57</v>
      </c>
    </row>
    <row r="19" customFormat="false" ht="18" hidden="false" customHeight="true" outlineLevel="0" collapsed="false">
      <c r="A19" s="4" t="n">
        <v>15</v>
      </c>
      <c r="B19" s="4" t="n">
        <v>1</v>
      </c>
      <c r="C19" s="5" t="s">
        <v>58</v>
      </c>
      <c r="D19" s="5" t="s">
        <v>59</v>
      </c>
      <c r="E19" s="5" t="s">
        <v>60</v>
      </c>
      <c r="F19" s="5" t="s">
        <v>61</v>
      </c>
      <c r="G19" s="5" t="s">
        <v>62</v>
      </c>
      <c r="H19" s="5" t="s">
        <v>63</v>
      </c>
    </row>
    <row r="20" customFormat="false" ht="15" hidden="false" customHeight="false" outlineLevel="0" collapsed="false">
      <c r="A20" s="8" t="s">
        <v>64</v>
      </c>
      <c r="B20" s="8"/>
      <c r="C20" s="9" t="str">
        <f aca="false">SUMPRODUCT((B5:B19)*1)&amp;" total components"</f>
        <v>18 total components</v>
      </c>
      <c r="D20" s="9"/>
      <c r="E20" s="9"/>
      <c r="F20" s="9"/>
      <c r="G20" s="9"/>
      <c r="H20" s="9"/>
    </row>
  </sheetData>
  <mergeCells count="4">
    <mergeCell ref="A1:H1"/>
    <mergeCell ref="A2:H2"/>
    <mergeCell ref="A20:B20"/>
    <mergeCell ref="C20:H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2026-04-27T17:41:38Z</dcterms:created>
  <dc:creator>openpyxl</dc:creator>
  <dc:description/>
  <dc:language>en-US</dc:language>
  <cp:lastModifiedBy/>
  <dcterms:modified xsi:type="dcterms:W3CDTF">2026-04-27T17:41:38Z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