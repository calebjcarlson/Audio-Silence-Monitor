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<sst xmlns="http://schemas.openxmlformats.org/spreadsheetml/2006/main" count="119" uniqueCount="98">
  <si>
    <t xml:space="preserve">Bill of Materials — ESP32 Silence Detector</t>
  </si>
  <si>
    <t xml:space="preserve">Project: ESP32 Silence Detector  |  Version: V1.0  |  Date: 2026-04-08  |  Drawn by: Kleb Inc</t>
  </si>
  <si>
    <t xml:space="preserve">Item #</t>
  </si>
  <si>
    <t xml:space="preserve">Qty</t>
  </si>
  <si>
    <t xml:space="preserve">Reference(s)</t>
  </si>
  <si>
    <t xml:space="preserve">Value / Part</t>
  </si>
  <si>
    <t xml:space="preserve">Description</t>
  </si>
  <si>
    <t xml:space="preserve">Package / Type</t>
  </si>
  <si>
    <t xml:space="preserve">Notes</t>
  </si>
  <si>
    <t xml:space="preserve">Microcontroller</t>
  </si>
  <si>
    <t xml:space="preserve">U3</t>
  </si>
  <si>
    <t xml:space="preserve">Xiao ESP32-C5</t>
  </si>
  <si>
    <t xml:space="preserve">Microcontroller Module</t>
  </si>
  <si>
    <t xml:space="preserve">SMD Module</t>
  </si>
  <si>
    <t xml:space="preserve">Seeed Studio XIAO ESP32C5</t>
  </si>
  <si>
    <t xml:space="preserve">Integrated Circuits</t>
  </si>
  <si>
    <t xml:space="preserve">U1</t>
  </si>
  <si>
    <t xml:space="preserve">LM358</t>
  </si>
  <si>
    <t xml:space="preserve">Dual Op-Amp IC</t>
  </si>
  <si>
    <t xml:space="preserve">DIP-8</t>
  </si>
  <si>
    <t xml:space="preserve">Half used (U1.1)</t>
  </si>
  <si>
    <t xml:space="preserve">U2</t>
  </si>
  <si>
    <t xml:space="preserve">LM393</t>
  </si>
  <si>
    <t xml:space="preserve">Dual Comparator IC</t>
  </si>
  <si>
    <t xml:space="preserve">Half used (U2.1)</t>
  </si>
  <si>
    <t xml:space="preserve">Resistors</t>
  </si>
  <si>
    <t xml:space="preserve">R1, R2</t>
  </si>
  <si>
    <t xml:space="preserve">100K</t>
  </si>
  <si>
    <t xml:space="preserve">Resistor</t>
  </si>
  <si>
    <t xml:space="preserve">1/4W Through-Hole</t>
  </si>
  <si>
    <t xml:space="preserve">R3, R6</t>
  </si>
  <si>
    <t xml:space="preserve">10K</t>
  </si>
  <si>
    <t xml:space="preserve">R4</t>
  </si>
  <si>
    <t xml:space="preserve">1.2K</t>
  </si>
  <si>
    <t xml:space="preserve">R5</t>
  </si>
  <si>
    <t xml:space="preserve">47K</t>
  </si>
  <si>
    <t xml:space="preserve">R7</t>
  </si>
  <si>
    <t xml:space="preserve">Potentiometer</t>
  </si>
  <si>
    <t xml:space="preserve">Through-Hole Pot</t>
  </si>
  <si>
    <t xml:space="preserve">Threshold adjustment</t>
  </si>
  <si>
    <t xml:space="preserve">R8</t>
  </si>
  <si>
    <t xml:space="preserve">1K</t>
  </si>
  <si>
    <t xml:space="preserve">Base resistor for Q1</t>
  </si>
  <si>
    <t xml:space="preserve">R9</t>
  </si>
  <si>
    <t xml:space="preserve">470K</t>
  </si>
  <si>
    <t xml:space="preserve">Capacitors</t>
  </si>
  <si>
    <t xml:space="preserve">C1, C3</t>
  </si>
  <si>
    <t xml:space="preserve">1 µF</t>
  </si>
  <si>
    <t xml:space="preserve">Capacitor</t>
  </si>
  <si>
    <t xml:space="preserve">Electrolytic / Ceramic</t>
  </si>
  <si>
    <t xml:space="preserve">C2, C5</t>
  </si>
  <si>
    <t xml:space="preserve">10 nF</t>
  </si>
  <si>
    <t xml:space="preserve">Ceramic</t>
  </si>
  <si>
    <t xml:space="preserve">C4</t>
  </si>
  <si>
    <t xml:space="preserve">10 µF</t>
  </si>
  <si>
    <t xml:space="preserve">Electrolytic</t>
  </si>
  <si>
    <t xml:space="preserve">Semiconductors</t>
  </si>
  <si>
    <t xml:space="preserve">D1</t>
  </si>
  <si>
    <t xml:space="preserve">1N4007</t>
  </si>
  <si>
    <t xml:space="preserve">Rectifier Diode</t>
  </si>
  <si>
    <t xml:space="preserve">DO-41</t>
  </si>
  <si>
    <t xml:space="preserve">General protection</t>
  </si>
  <si>
    <t xml:space="preserve">D2</t>
  </si>
  <si>
    <t xml:space="preserve">Flyback Diode</t>
  </si>
  <si>
    <t xml:space="preserve">Relay flyback / protection</t>
  </si>
  <si>
    <t xml:space="preserve">Q1</t>
  </si>
  <si>
    <t xml:space="preserve">2N3904</t>
  </si>
  <si>
    <t xml:space="preserve">NPN BJT Transistor</t>
  </si>
  <si>
    <t xml:space="preserve">TO-92</t>
  </si>
  <si>
    <t xml:space="preserve">Relay driver</t>
  </si>
  <si>
    <t xml:space="preserve">Relay &amp; Connectors</t>
  </si>
  <si>
    <t xml:space="preserve">K1</t>
  </si>
  <si>
    <t xml:space="preserve">HK4100F-DC5V-SDG</t>
  </si>
  <si>
    <t xml:space="preserve">5V SPDT Relay</t>
  </si>
  <si>
    <t xml:space="preserve">PCB Mount</t>
  </si>
  <si>
    <t xml:space="preserve">COM, NC, NO contacts</t>
  </si>
  <si>
    <t xml:space="preserve">J1</t>
  </si>
  <si>
    <t xml:space="preserve">Phoenix 3-pin</t>
  </si>
  <si>
    <t xml:space="preserve">Phoenix Connector 3-port</t>
  </si>
  <si>
    <t xml:space="preserve">3.5mm or 5mm pitch</t>
  </si>
  <si>
    <t xml:space="preserve">Audio In + Ground</t>
  </si>
  <si>
    <t xml:space="preserve">J2</t>
  </si>
  <si>
    <t xml:space="preserve">Relay NO, COM, NC</t>
  </si>
  <si>
    <t xml:space="preserve">Miscellaneous / Hardware</t>
  </si>
  <si>
    <t xml:space="preserve">—</t>
  </si>
  <si>
    <t xml:space="preserve">Prototyping Board</t>
  </si>
  <si>
    <t xml:space="preserve">PCB / Breadboard</t>
  </si>
  <si>
    <t xml:space="preserve">Full or Half-size</t>
  </si>
  <si>
    <t xml:space="preserve">For assembly and mounting</t>
  </si>
  <si>
    <t xml:space="preserve">USB-C Cable</t>
  </si>
  <si>
    <t xml:space="preserve">USB-C Data/Power Cable</t>
  </si>
  <si>
    <t xml:space="preserve">Standard</t>
  </si>
  <si>
    <t xml:space="preserve">For programming &amp; power</t>
  </si>
  <si>
    <t xml:space="preserve">5V Charger Brick</t>
  </si>
  <si>
    <t xml:space="preserve">USB Charger / PSU</t>
  </si>
  <si>
    <t xml:space="preserve">5V 1A or greater</t>
  </si>
  <si>
    <t xml:space="preserve">Powers the board via USB-C</t>
  </si>
  <si>
    <t xml:space="preserve">Total Line Items: 22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</si>
</sst>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BDD7EE"/>
        <bgColor rgb="FFD6E4F0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3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.75" hidden="false" customHeight="true" outlineLevel="0" collapsed="false">
      <c r="A5" s="4" t="s">
        <v>9</v>
      </c>
      <c r="B5" s="4"/>
      <c r="C5" s="4"/>
      <c r="D5" s="4"/>
      <c r="E5" s="4"/>
      <c r="F5" s="4"/>
      <c r="G5" s="4"/>
    </row>
    <row r="6" customFormat="false" ht="18" hidden="false" customHeight="true" outlineLevel="0" collapsed="false">
      <c r="A6" s="5" t="n">
        <v>1</v>
      </c>
      <c r="B6" s="5" t="n">
        <v>1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</row>
    <row r="7" customFormat="false" ht="15.75" hidden="false" customHeight="true" outlineLevel="0" collapsed="false">
      <c r="A7" s="4" t="s">
        <v>15</v>
      </c>
      <c r="B7" s="4"/>
      <c r="C7" s="4"/>
      <c r="D7" s="4"/>
      <c r="E7" s="4"/>
      <c r="F7" s="4"/>
      <c r="G7" s="4"/>
    </row>
    <row r="8" customFormat="false" ht="18" hidden="false" customHeight="true" outlineLevel="0" collapsed="false">
      <c r="A8" s="7" t="n">
        <v>2</v>
      </c>
      <c r="B8" s="7" t="n">
        <v>1</v>
      </c>
      <c r="C8" s="8" t="s">
        <v>16</v>
      </c>
      <c r="D8" s="8" t="s">
        <v>17</v>
      </c>
      <c r="E8" s="8" t="s">
        <v>18</v>
      </c>
      <c r="F8" s="8" t="s">
        <v>19</v>
      </c>
      <c r="G8" s="8" t="s">
        <v>20</v>
      </c>
    </row>
    <row r="9" customFormat="false" ht="18" hidden="false" customHeight="true" outlineLevel="0" collapsed="false">
      <c r="A9" s="5" t="n">
        <v>3</v>
      </c>
      <c r="B9" s="5" t="n">
        <v>1</v>
      </c>
      <c r="C9" s="6" t="s">
        <v>21</v>
      </c>
      <c r="D9" s="6" t="s">
        <v>22</v>
      </c>
      <c r="E9" s="6" t="s">
        <v>23</v>
      </c>
      <c r="F9" s="6" t="s">
        <v>19</v>
      </c>
      <c r="G9" s="6" t="s">
        <v>24</v>
      </c>
    </row>
    <row r="10" customFormat="false" ht="15.75" hidden="false" customHeight="true" outlineLevel="0" collapsed="false">
      <c r="A10" s="4" t="s">
        <v>25</v>
      </c>
      <c r="B10" s="4"/>
      <c r="C10" s="4"/>
      <c r="D10" s="4"/>
      <c r="E10" s="4"/>
      <c r="F10" s="4"/>
      <c r="G10" s="4"/>
    </row>
    <row r="11" customFormat="false" ht="18" hidden="false" customHeight="true" outlineLevel="0" collapsed="false">
      <c r="A11" s="7" t="n">
        <v>4</v>
      </c>
      <c r="B11" s="7" t="n">
        <v>2</v>
      </c>
      <c r="C11" s="8" t="s">
        <v>26</v>
      </c>
      <c r="D11" s="8" t="s">
        <v>27</v>
      </c>
      <c r="E11" s="8" t="s">
        <v>28</v>
      </c>
      <c r="F11" s="8" t="s">
        <v>29</v>
      </c>
      <c r="G11" s="8"/>
    </row>
    <row r="12" customFormat="false" ht="18" hidden="false" customHeight="true" outlineLevel="0" collapsed="false">
      <c r="A12" s="5" t="n">
        <v>5</v>
      </c>
      <c r="B12" s="5" t="n">
        <v>2</v>
      </c>
      <c r="C12" s="6" t="s">
        <v>30</v>
      </c>
      <c r="D12" s="6" t="s">
        <v>31</v>
      </c>
      <c r="E12" s="6" t="s">
        <v>28</v>
      </c>
      <c r="F12" s="6" t="s">
        <v>29</v>
      </c>
      <c r="G12" s="6"/>
    </row>
    <row r="13" customFormat="false" ht="18" hidden="false" customHeight="true" outlineLevel="0" collapsed="false">
      <c r="A13" s="7" t="n">
        <v>6</v>
      </c>
      <c r="B13" s="7" t="n">
        <v>1</v>
      </c>
      <c r="C13" s="8" t="s">
        <v>32</v>
      </c>
      <c r="D13" s="8" t="s">
        <v>33</v>
      </c>
      <c r="E13" s="8" t="s">
        <v>28</v>
      </c>
      <c r="F13" s="8" t="s">
        <v>29</v>
      </c>
      <c r="G13" s="8"/>
    </row>
    <row r="14" customFormat="false" ht="18" hidden="false" customHeight="true" outlineLevel="0" collapsed="false">
      <c r="A14" s="5" t="n">
        <v>7</v>
      </c>
      <c r="B14" s="5" t="n">
        <v>1</v>
      </c>
      <c r="C14" s="6" t="s">
        <v>34</v>
      </c>
      <c r="D14" s="6" t="s">
        <v>35</v>
      </c>
      <c r="E14" s="6" t="s">
        <v>28</v>
      </c>
      <c r="F14" s="6" t="s">
        <v>29</v>
      </c>
      <c r="G14" s="6"/>
    </row>
    <row r="15" customFormat="false" ht="18" hidden="false" customHeight="true" outlineLevel="0" collapsed="false">
      <c r="A15" s="7" t="n">
        <v>8</v>
      </c>
      <c r="B15" s="7" t="n">
        <v>1</v>
      </c>
      <c r="C15" s="8" t="s">
        <v>36</v>
      </c>
      <c r="D15" s="8" t="s">
        <v>31</v>
      </c>
      <c r="E15" s="8" t="s">
        <v>37</v>
      </c>
      <c r="F15" s="8" t="s">
        <v>38</v>
      </c>
      <c r="G15" s="8" t="s">
        <v>39</v>
      </c>
    </row>
    <row r="16" customFormat="false" ht="18" hidden="false" customHeight="true" outlineLevel="0" collapsed="false">
      <c r="A16" s="5" t="n">
        <v>9</v>
      </c>
      <c r="B16" s="5" t="n">
        <v>1</v>
      </c>
      <c r="C16" s="6" t="s">
        <v>40</v>
      </c>
      <c r="D16" s="6" t="s">
        <v>41</v>
      </c>
      <c r="E16" s="6" t="s">
        <v>28</v>
      </c>
      <c r="F16" s="6" t="s">
        <v>29</v>
      </c>
      <c r="G16" s="6" t="s">
        <v>42</v>
      </c>
    </row>
    <row r="17" customFormat="false" ht="18" hidden="false" customHeight="true" outlineLevel="0" collapsed="false">
      <c r="A17" s="7" t="n">
        <v>10</v>
      </c>
      <c r="B17" s="7" t="n">
        <v>1</v>
      </c>
      <c r="C17" s="8" t="s">
        <v>43</v>
      </c>
      <c r="D17" s="8" t="s">
        <v>44</v>
      </c>
      <c r="E17" s="8" t="s">
        <v>28</v>
      </c>
      <c r="F17" s="8" t="s">
        <v>29</v>
      </c>
      <c r="G17" s="8"/>
    </row>
    <row r="18" customFormat="false" ht="15.75" hidden="false" customHeight="true" outlineLevel="0" collapsed="false">
      <c r="A18" s="4" t="s">
        <v>45</v>
      </c>
      <c r="B18" s="4"/>
      <c r="C18" s="4"/>
      <c r="D18" s="4"/>
      <c r="E18" s="4"/>
      <c r="F18" s="4"/>
      <c r="G18" s="4"/>
    </row>
    <row r="19" customFormat="false" ht="18" hidden="false" customHeight="true" outlineLevel="0" collapsed="false">
      <c r="A19" s="5" t="n">
        <v>11</v>
      </c>
      <c r="B19" s="5" t="n">
        <v>2</v>
      </c>
      <c r="C19" s="6" t="s">
        <v>46</v>
      </c>
      <c r="D19" s="6" t="s">
        <v>47</v>
      </c>
      <c r="E19" s="6" t="s">
        <v>48</v>
      </c>
      <c r="F19" s="6" t="s">
        <v>49</v>
      </c>
      <c r="G19" s="6"/>
    </row>
    <row r="20" customFormat="false" ht="18" hidden="false" customHeight="true" outlineLevel="0" collapsed="false">
      <c r="A20" s="7" t="n">
        <v>12</v>
      </c>
      <c r="B20" s="7" t="n">
        <v>2</v>
      </c>
      <c r="C20" s="8" t="s">
        <v>50</v>
      </c>
      <c r="D20" s="8" t="s">
        <v>51</v>
      </c>
      <c r="E20" s="8" t="s">
        <v>48</v>
      </c>
      <c r="F20" s="8" t="s">
        <v>52</v>
      </c>
      <c r="G20" s="8"/>
    </row>
    <row r="21" customFormat="false" ht="18" hidden="false" customHeight="true" outlineLevel="0" collapsed="false">
      <c r="A21" s="5" t="n">
        <v>13</v>
      </c>
      <c r="B21" s="5" t="n">
        <v>1</v>
      </c>
      <c r="C21" s="6" t="s">
        <v>53</v>
      </c>
      <c r="D21" s="6" t="s">
        <v>54</v>
      </c>
      <c r="E21" s="6" t="s">
        <v>48</v>
      </c>
      <c r="F21" s="6" t="s">
        <v>55</v>
      </c>
      <c r="G21" s="6"/>
    </row>
    <row r="22" customFormat="false" ht="15.75" hidden="false" customHeight="true" outlineLevel="0" collapsed="false">
      <c r="A22" s="4" t="s">
        <v>56</v>
      </c>
      <c r="B22" s="4"/>
      <c r="C22" s="4"/>
      <c r="D22" s="4"/>
      <c r="E22" s="4"/>
      <c r="F22" s="4"/>
      <c r="G22" s="4"/>
    </row>
    <row r="23" customFormat="false" ht="18" hidden="false" customHeight="true" outlineLevel="0" collapsed="false">
      <c r="A23" s="7" t="n">
        <v>14</v>
      </c>
      <c r="B23" s="7" t="n">
        <v>1</v>
      </c>
      <c r="C23" s="8" t="s">
        <v>57</v>
      </c>
      <c r="D23" s="8" t="s">
        <v>58</v>
      </c>
      <c r="E23" s="8" t="s">
        <v>59</v>
      </c>
      <c r="F23" s="8" t="s">
        <v>60</v>
      </c>
      <c r="G23" s="8" t="s">
        <v>61</v>
      </c>
    </row>
    <row r="24" customFormat="false" ht="18" hidden="false" customHeight="true" outlineLevel="0" collapsed="false">
      <c r="A24" s="5" t="n">
        <v>15</v>
      </c>
      <c r="B24" s="5" t="n">
        <v>1</v>
      </c>
      <c r="C24" s="6" t="s">
        <v>62</v>
      </c>
      <c r="D24" s="6" t="s">
        <v>58</v>
      </c>
      <c r="E24" s="6" t="s">
        <v>63</v>
      </c>
      <c r="F24" s="6" t="s">
        <v>60</v>
      </c>
      <c r="G24" s="6" t="s">
        <v>64</v>
      </c>
    </row>
    <row r="25" customFormat="false" ht="18" hidden="false" customHeight="true" outlineLevel="0" collapsed="false">
      <c r="A25" s="7" t="n">
        <v>16</v>
      </c>
      <c r="B25" s="7" t="n">
        <v>1</v>
      </c>
      <c r="C25" s="8" t="s">
        <v>65</v>
      </c>
      <c r="D25" s="8" t="s">
        <v>66</v>
      </c>
      <c r="E25" s="8" t="s">
        <v>67</v>
      </c>
      <c r="F25" s="8" t="s">
        <v>68</v>
      </c>
      <c r="G25" s="8" t="s">
        <v>69</v>
      </c>
    </row>
    <row r="26" customFormat="false" ht="15.75" hidden="false" customHeight="true" outlineLevel="0" collapsed="false">
      <c r="A26" s="4" t="s">
        <v>70</v>
      </c>
      <c r="B26" s="4"/>
      <c r="C26" s="4"/>
      <c r="D26" s="4"/>
      <c r="E26" s="4"/>
      <c r="F26" s="4"/>
      <c r="G26" s="4"/>
    </row>
    <row r="27" customFormat="false" ht="18" hidden="false" customHeight="true" outlineLevel="0" collapsed="false">
      <c r="A27" s="5" t="n">
        <v>17</v>
      </c>
      <c r="B27" s="5" t="n">
        <v>1</v>
      </c>
      <c r="C27" s="6" t="s">
        <v>71</v>
      </c>
      <c r="D27" s="6" t="s">
        <v>72</v>
      </c>
      <c r="E27" s="6" t="s">
        <v>73</v>
      </c>
      <c r="F27" s="6" t="s">
        <v>74</v>
      </c>
      <c r="G27" s="6" t="s">
        <v>75</v>
      </c>
    </row>
    <row r="28" customFormat="false" ht="18" hidden="false" customHeight="true" outlineLevel="0" collapsed="false">
      <c r="A28" s="7" t="n">
        <v>18</v>
      </c>
      <c r="B28" s="7" t="n">
        <v>1</v>
      </c>
      <c r="C28" s="8" t="s">
        <v>76</v>
      </c>
      <c r="D28" s="8" t="s">
        <v>77</v>
      </c>
      <c r="E28" s="8" t="s">
        <v>78</v>
      </c>
      <c r="F28" s="8" t="s">
        <v>79</v>
      </c>
      <c r="G28" s="8" t="s">
        <v>80</v>
      </c>
    </row>
    <row r="29" customFormat="false" ht="18" hidden="false" customHeight="true" outlineLevel="0" collapsed="false">
      <c r="A29" s="5" t="n">
        <v>19</v>
      </c>
      <c r="B29" s="5" t="n">
        <v>1</v>
      </c>
      <c r="C29" s="6" t="s">
        <v>81</v>
      </c>
      <c r="D29" s="6" t="s">
        <v>77</v>
      </c>
      <c r="E29" s="6" t="s">
        <v>78</v>
      </c>
      <c r="F29" s="6" t="s">
        <v>79</v>
      </c>
      <c r="G29" s="6" t="s">
        <v>82</v>
      </c>
    </row>
    <row r="30" customFormat="false" ht="15.75" hidden="false" customHeight="true" outlineLevel="0" collapsed="false">
      <c r="A30" s="4" t="s">
        <v>83</v>
      </c>
      <c r="B30" s="4"/>
      <c r="C30" s="4"/>
      <c r="D30" s="4"/>
      <c r="E30" s="4"/>
      <c r="F30" s="4"/>
      <c r="G30" s="4"/>
    </row>
    <row r="31" customFormat="false" ht="18" hidden="false" customHeight="true" outlineLevel="0" collapsed="false">
      <c r="A31" s="7" t="n">
        <v>20</v>
      </c>
      <c r="B31" s="7" t="n">
        <v>1</v>
      </c>
      <c r="C31" s="8" t="s">
        <v>84</v>
      </c>
      <c r="D31" s="8" t="s">
        <v>85</v>
      </c>
      <c r="E31" s="8" t="s">
        <v>86</v>
      </c>
      <c r="F31" s="8" t="s">
        <v>87</v>
      </c>
      <c r="G31" s="8" t="s">
        <v>88</v>
      </c>
    </row>
    <row r="32" customFormat="false" ht="18" hidden="false" customHeight="true" outlineLevel="0" collapsed="false">
      <c r="A32" s="5" t="n">
        <v>21</v>
      </c>
      <c r="B32" s="5" t="n">
        <v>1</v>
      </c>
      <c r="C32" s="6" t="s">
        <v>84</v>
      </c>
      <c r="D32" s="6" t="s">
        <v>89</v>
      </c>
      <c r="E32" s="6" t="s">
        <v>90</v>
      </c>
      <c r="F32" s="6" t="s">
        <v>91</v>
      </c>
      <c r="G32" s="6" t="s">
        <v>92</v>
      </c>
    </row>
    <row r="33" customFormat="false" ht="18" hidden="false" customHeight="true" outlineLevel="0" collapsed="false">
      <c r="A33" s="7" t="n">
        <v>22</v>
      </c>
      <c r="B33" s="7" t="n">
        <v>1</v>
      </c>
      <c r="C33" s="8" t="s">
        <v>84</v>
      </c>
      <c r="D33" s="8" t="s">
        <v>93</v>
      </c>
      <c r="E33" s="8" t="s">
        <v>94</v>
      </c>
      <c r="F33" s="8" t="s">
        <v>95</v>
      </c>
      <c r="G33" s="8" t="s">
        <v>96</v>
      </c>
    </row>
    <row r="34" customFormat="false" ht="15" hidden="false" customHeight="false" outlineLevel="0" collapsed="false">
      <c r="A34" s="9" t="s">
        <v>97</v>
      </c>
      <c r="B34" s="9"/>
      <c r="C34" s="10" t="str">
        <f aca="false">SUM(B6,B8,B9,B11,B12,B13,B14,B15,B16,B17,B19,B20,B21,B23,B24,B25,B27,B28,B29,B31,B32,B33)&amp;" total components"</f>
        <v>26 total components</v>
      </c>
      <c r="D34" s="10"/>
      <c r="E34" s="10"/>
      <c r="F34" s="10"/>
      <c r="G34" s="10"/>
    </row>
  </sheetData>
  <mergeCells count="11">
    <mergeCell ref="A1:G1"/>
    <mergeCell ref="A2:G2"/>
    <mergeCell ref="A5:G5"/>
    <mergeCell ref="A7:G7"/>
    <mergeCell ref="A10:G10"/>
    <mergeCell ref="A18:G18"/>
    <mergeCell ref="A22:G22"/>
    <mergeCell ref="A26:G26"/>
    <mergeCell ref="A30:G30"/>
    <mergeCell ref="A34:B34"/>
    <mergeCell ref="C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2026-04-27T17:57:08Z</dcterms:created>
  <dc:creator>openpyxl</dc:creator>
  <dc:description/>
  <dc:language>en-US</dc:language>
  <cp:lastModifiedBy/>
  <dcterms:modified xsi:type="dcterms:W3CDTF">2026-04-27T17:57:08Z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